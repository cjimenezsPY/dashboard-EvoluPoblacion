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Descargas\IA_Local\ProyectosPython\dashboard-EvoluPoblacion\public\"/>
    </mc:Choice>
  </mc:AlternateContent>
  <bookViews>
    <workbookView xWindow="2190" yWindow="0" windowWidth="27720" windowHeight="128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E19" i="1"/>
  <c r="D19" i="1"/>
  <c r="F14" i="1"/>
  <c r="E14" i="1"/>
  <c r="D14" i="1"/>
  <c r="F10" i="1"/>
  <c r="E10" i="1"/>
  <c r="D10" i="1"/>
  <c r="F4" i="1"/>
  <c r="E4" i="1"/>
  <c r="D4" i="1"/>
  <c r="D22" i="1" s="1"/>
  <c r="I19" i="1"/>
  <c r="H19" i="1"/>
  <c r="G19" i="1"/>
  <c r="I14" i="1"/>
  <c r="H14" i="1"/>
  <c r="G14" i="1"/>
  <c r="I10" i="1"/>
  <c r="H10" i="1"/>
  <c r="G10" i="1"/>
  <c r="I4" i="1"/>
  <c r="H4" i="1"/>
  <c r="G4" i="1"/>
  <c r="L19" i="1"/>
  <c r="K19" i="1"/>
  <c r="J19" i="1"/>
  <c r="L14" i="1"/>
  <c r="K14" i="1"/>
  <c r="J14" i="1"/>
  <c r="L10" i="1"/>
  <c r="K10" i="1"/>
  <c r="J10" i="1"/>
  <c r="L4" i="1"/>
  <c r="K4" i="1"/>
  <c r="J4" i="1"/>
  <c r="AA19" i="1"/>
  <c r="Z19" i="1"/>
  <c r="Y19" i="1"/>
  <c r="AA14" i="1"/>
  <c r="Z14" i="1"/>
  <c r="Y14" i="1"/>
  <c r="AA10" i="1"/>
  <c r="Z10" i="1"/>
  <c r="Y10" i="1"/>
  <c r="AA4" i="1"/>
  <c r="Z4" i="1"/>
  <c r="Y4" i="1"/>
  <c r="L22" i="1" l="1"/>
  <c r="E22" i="1"/>
  <c r="F22" i="1"/>
  <c r="G22" i="1"/>
  <c r="H22" i="1"/>
  <c r="I22" i="1"/>
  <c r="J22" i="1"/>
  <c r="K22" i="1"/>
  <c r="X19" i="1"/>
  <c r="W19" i="1"/>
  <c r="V19" i="1"/>
  <c r="X14" i="1"/>
  <c r="W14" i="1"/>
  <c r="V14" i="1"/>
  <c r="X10" i="1"/>
  <c r="W10" i="1"/>
  <c r="V10" i="1"/>
  <c r="X4" i="1"/>
  <c r="W4" i="1"/>
  <c r="V4" i="1"/>
  <c r="W22" i="1" l="1"/>
  <c r="X22" i="1"/>
  <c r="V22" i="1"/>
  <c r="U19" i="1" l="1"/>
  <c r="T19" i="1"/>
  <c r="S19" i="1"/>
  <c r="U14" i="1"/>
  <c r="T14" i="1"/>
  <c r="S14" i="1"/>
  <c r="U10" i="1"/>
  <c r="T10" i="1"/>
  <c r="S10" i="1"/>
  <c r="U4" i="1"/>
  <c r="T4" i="1"/>
  <c r="S4" i="1"/>
  <c r="R19" i="1"/>
  <c r="Q19" i="1"/>
  <c r="P19" i="1"/>
  <c r="R14" i="1"/>
  <c r="Q14" i="1"/>
  <c r="P14" i="1"/>
  <c r="R10" i="1"/>
  <c r="Q10" i="1"/>
  <c r="P10" i="1"/>
  <c r="R4" i="1"/>
  <c r="Q4" i="1"/>
  <c r="P4" i="1"/>
  <c r="Q22" i="1" l="1"/>
  <c r="T22" i="1"/>
  <c r="S22" i="1"/>
  <c r="R22" i="1"/>
  <c r="U22" i="1"/>
  <c r="P22" i="1"/>
  <c r="O19" i="1"/>
  <c r="N19" i="1"/>
  <c r="M19" i="1"/>
  <c r="O14" i="1"/>
  <c r="N14" i="1"/>
  <c r="M14" i="1"/>
  <c r="O10" i="1"/>
  <c r="N10" i="1"/>
  <c r="M10" i="1"/>
  <c r="O4" i="1"/>
  <c r="N4" i="1"/>
  <c r="M4" i="1"/>
  <c r="N22" i="1" l="1"/>
  <c r="O22" i="1"/>
  <c r="M22" i="1"/>
</calcChain>
</file>

<file path=xl/sharedStrings.xml><?xml version="1.0" encoding="utf-8"?>
<sst xmlns="http://schemas.openxmlformats.org/spreadsheetml/2006/main" count="71" uniqueCount="50">
  <si>
    <t>N°</t>
  </si>
  <si>
    <t>TIPO DE SEGURO</t>
  </si>
  <si>
    <t>01</t>
  </si>
  <si>
    <t>ASEGURADOS REGULARES</t>
  </si>
  <si>
    <t>1</t>
  </si>
  <si>
    <t>Trabajador Activo</t>
  </si>
  <si>
    <t>2</t>
  </si>
  <si>
    <t>Pensionista</t>
  </si>
  <si>
    <t>3</t>
  </si>
  <si>
    <t>Trabajador del Hogar</t>
  </si>
  <si>
    <t>4</t>
  </si>
  <si>
    <t>Pescador Artesanal</t>
  </si>
  <si>
    <t>5</t>
  </si>
  <si>
    <t>Contra. Administ. Serv</t>
  </si>
  <si>
    <t>02</t>
  </si>
  <si>
    <t>6</t>
  </si>
  <si>
    <t>Agrario Dependiente</t>
  </si>
  <si>
    <t>7</t>
  </si>
  <si>
    <t>8</t>
  </si>
  <si>
    <t>Actividad Acuicola</t>
  </si>
  <si>
    <t>03</t>
  </si>
  <si>
    <t>SEGUROS POTESTATIVOS</t>
  </si>
  <si>
    <t>9</t>
  </si>
  <si>
    <t>Plan Protección Total y Plan Protección Vital</t>
  </si>
  <si>
    <t>10</t>
  </si>
  <si>
    <t>EsSalud Independiente Personal-Familiar</t>
  </si>
  <si>
    <t>11</t>
  </si>
  <si>
    <t>EsSalud Independiente (antiguo)</t>
  </si>
  <si>
    <t>12</t>
  </si>
  <si>
    <t>13</t>
  </si>
  <si>
    <t>+ Salud Seguro Potestativo</t>
  </si>
  <si>
    <t>04</t>
  </si>
  <si>
    <t>OTRAS COBERTURAS</t>
  </si>
  <si>
    <t xml:space="preserve">    Beneficiario ley 30478</t>
  </si>
  <si>
    <t>DICIEMBRE. 2023</t>
  </si>
  <si>
    <t>POBLACION</t>
  </si>
  <si>
    <t>TITULAR</t>
  </si>
  <si>
    <t>DERECHOHABIENTE</t>
  </si>
  <si>
    <t>Solicitante de Pensión</t>
  </si>
  <si>
    <t>14</t>
  </si>
  <si>
    <t>TOTAL</t>
  </si>
  <si>
    <t>DICIEMBRE. 2022</t>
  </si>
  <si>
    <t>DICIEMBRE. 2021</t>
  </si>
  <si>
    <t>DICIEMBRE. 2020</t>
  </si>
  <si>
    <t>DICIEMBRE. 2019</t>
  </si>
  <si>
    <t>Diciembre 2024</t>
  </si>
  <si>
    <t>Diciembre 2025</t>
  </si>
  <si>
    <t>Junio 2026</t>
  </si>
  <si>
    <t>ASEGURADOS REGULARES - AGRARIOS</t>
  </si>
  <si>
    <t>Agrario Independiente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</si>
</sst>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theme="4" tint="-0.249977111117893"/>
      <name val="Arial"/>
      <family val="2"/>
    </font>
    <font>
      <sz val="10"/>
      <name val="Arial Narrow"/>
      <family val="2"/>
    </font>
    <font>
      <sz val="9"/>
      <color theme="1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8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17" fontId="0" fillId="0" borderId="0" xfId="0" quotePrefix="1" applyNumberFormat="1"/>
    <xf numFmtId="49" fontId="3" fillId="4" borderId="8" xfId="1" applyNumberFormat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vertical="center"/>
    </xf>
    <xf numFmtId="3" fontId="6" fillId="4" borderId="10" xfId="1" applyNumberFormat="1" applyFont="1" applyFill="1" applyBorder="1" applyAlignment="1">
      <alignment vertical="center"/>
    </xf>
    <xf numFmtId="49" fontId="3" fillId="2" borderId="7" xfId="1" applyNumberFormat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vertical="center"/>
    </xf>
    <xf numFmtId="3" fontId="3" fillId="2" borderId="7" xfId="1" applyNumberFormat="1" applyFont="1" applyFill="1" applyBorder="1" applyAlignment="1">
      <alignment vertical="center"/>
    </xf>
    <xf numFmtId="49" fontId="7" fillId="5" borderId="7" xfId="1" applyNumberFormat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left" vertical="center" indent="1"/>
    </xf>
    <xf numFmtId="3" fontId="9" fillId="0" borderId="7" xfId="3" applyNumberFormat="1" applyFont="1" applyBorder="1"/>
    <xf numFmtId="3" fontId="9" fillId="0" borderId="7" xfId="0" applyNumberFormat="1" applyFont="1" applyBorder="1"/>
    <xf numFmtId="0" fontId="4" fillId="0" borderId="7" xfId="3" applyFont="1" applyBorder="1"/>
    <xf numFmtId="3" fontId="10" fillId="3" borderId="7" xfId="5" applyNumberFormat="1" applyFont="1" applyFill="1" applyBorder="1" applyAlignment="1">
      <alignment vertical="center"/>
    </xf>
    <xf numFmtId="0" fontId="9" fillId="0" borderId="7" xfId="0" applyFont="1" applyBorder="1"/>
    <xf numFmtId="0" fontId="4" fillId="0" borderId="7" xfId="3" applyFont="1" applyBorder="1" applyAlignment="1">
      <alignment horizontal="left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</cellXfs>
  <cellStyles count="23">
    <cellStyle name="Millares 2" xfId="12"/>
    <cellStyle name="Millares 2 2" xfId="19"/>
    <cellStyle name="Millares 3" xfId="13"/>
    <cellStyle name="Millares 3 2" xfId="20"/>
    <cellStyle name="Millares 4" xfId="15"/>
    <cellStyle name="Millares 4 2" xfId="21"/>
    <cellStyle name="Millares 5" xfId="17"/>
    <cellStyle name="Millares 6" xfId="22"/>
    <cellStyle name="Normal" xfId="0" builtinId="0"/>
    <cellStyle name="Normal 10 2" xfId="3"/>
    <cellStyle name="Normal 13" xfId="4"/>
    <cellStyle name="Normal 2" xfId="7"/>
    <cellStyle name="Normal 3" xfId="8"/>
    <cellStyle name="Normal 30" xfId="6"/>
    <cellStyle name="Normal 4" xfId="9"/>
    <cellStyle name="Normal 4_Hoja3" xfId="1"/>
    <cellStyle name="Normal 5" xfId="10"/>
    <cellStyle name="Normal 6" xfId="11"/>
    <cellStyle name="Normal 64" xfId="5"/>
    <cellStyle name="Normal 64 2" xfId="2"/>
    <cellStyle name="Normal 7" xfId="14"/>
    <cellStyle name="Normal 8" xfId="16"/>
    <cellStyle name="Normal 9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2"/>
  <sheetViews>
    <sheetView tabSelected="1" workbookViewId="0">
      <selection activeCell="C1" sqref="C1"/>
    </sheetView>
  </sheetViews>
  <sheetFormatPr baseColWidth="10" defaultRowHeight="15" x14ac:dyDescent="0.25"/>
  <cols>
    <col min="1" max="1" width="4" customWidth="1"/>
    <col min="2" max="2" width="3.140625" bestFit="1" customWidth="1"/>
    <col min="3" max="3" width="41.85546875" bestFit="1" customWidth="1"/>
    <col min="4" max="4" width="22.28515625" bestFit="1" customWidth="1"/>
    <col min="5" max="5" width="9.140625" bestFit="1" customWidth="1"/>
    <col min="6" max="6" width="18.140625" bestFit="1" customWidth="1"/>
    <col min="7" max="7" width="11.42578125" bestFit="1" customWidth="1"/>
    <col min="8" max="8" width="9.140625" bestFit="1" customWidth="1"/>
    <col min="9" max="9" width="18.140625" bestFit="1" customWidth="1"/>
    <col min="11" max="11" width="9.140625" bestFit="1" customWidth="1"/>
    <col min="12" max="12" width="18.140625" bestFit="1" customWidth="1"/>
    <col min="14" max="14" width="9.140625" bestFit="1" customWidth="1"/>
    <col min="15" max="15" width="18.140625" bestFit="1" customWidth="1"/>
    <col min="17" max="17" width="9.140625" bestFit="1" customWidth="1"/>
    <col min="18" max="18" width="18.140625" bestFit="1" customWidth="1"/>
    <col min="20" max="20" width="9.140625" bestFit="1" customWidth="1"/>
    <col min="21" max="21" width="18.140625" bestFit="1" customWidth="1"/>
    <col min="23" max="23" width="9.140625" bestFit="1" customWidth="1"/>
    <col min="24" max="24" width="18.140625" bestFit="1" customWidth="1"/>
    <col min="26" max="26" width="9.140625" bestFit="1" customWidth="1"/>
    <col min="27" max="27" width="18.140625" bestFit="1" customWidth="1"/>
  </cols>
  <sheetData>
    <row r="2" spans="2:27" x14ac:dyDescent="0.25">
      <c r="C2" s="4"/>
      <c r="D2" s="19" t="s">
        <v>47</v>
      </c>
      <c r="E2" s="20"/>
      <c r="F2" s="21"/>
      <c r="G2" s="19" t="s">
        <v>46</v>
      </c>
      <c r="H2" s="20"/>
      <c r="I2" s="21"/>
      <c r="J2" s="19" t="s">
        <v>45</v>
      </c>
      <c r="K2" s="20"/>
      <c r="L2" s="21"/>
      <c r="M2" s="19" t="s">
        <v>34</v>
      </c>
      <c r="N2" s="20"/>
      <c r="O2" s="21"/>
      <c r="P2" s="19" t="s">
        <v>41</v>
      </c>
      <c r="Q2" s="20"/>
      <c r="R2" s="21"/>
      <c r="S2" s="19" t="s">
        <v>42</v>
      </c>
      <c r="T2" s="20"/>
      <c r="U2" s="21"/>
      <c r="V2" s="19" t="s">
        <v>43</v>
      </c>
      <c r="W2" s="20"/>
      <c r="X2" s="21"/>
      <c r="Y2" s="19" t="s">
        <v>44</v>
      </c>
      <c r="Z2" s="20"/>
      <c r="AA2" s="21"/>
    </row>
    <row r="3" spans="2:27" x14ac:dyDescent="0.25">
      <c r="B3" s="1" t="s">
        <v>0</v>
      </c>
      <c r="C3" s="1" t="s">
        <v>1</v>
      </c>
      <c r="D3" s="2" t="s">
        <v>35</v>
      </c>
      <c r="E3" s="2" t="s">
        <v>36</v>
      </c>
      <c r="F3" s="3" t="s">
        <v>37</v>
      </c>
      <c r="G3" s="2" t="s">
        <v>35</v>
      </c>
      <c r="H3" s="2" t="s">
        <v>36</v>
      </c>
      <c r="I3" s="3" t="s">
        <v>37</v>
      </c>
      <c r="J3" s="2" t="s">
        <v>35</v>
      </c>
      <c r="K3" s="2" t="s">
        <v>36</v>
      </c>
      <c r="L3" s="3" t="s">
        <v>37</v>
      </c>
      <c r="M3" s="2" t="s">
        <v>35</v>
      </c>
      <c r="N3" s="2" t="s">
        <v>36</v>
      </c>
      <c r="O3" s="3" t="s">
        <v>37</v>
      </c>
      <c r="P3" s="2" t="s">
        <v>35</v>
      </c>
      <c r="Q3" s="2" t="s">
        <v>36</v>
      </c>
      <c r="R3" s="3" t="s">
        <v>37</v>
      </c>
      <c r="S3" s="2" t="s">
        <v>35</v>
      </c>
      <c r="T3" s="2" t="s">
        <v>36</v>
      </c>
      <c r="U3" s="3" t="s">
        <v>37</v>
      </c>
      <c r="V3" s="2" t="s">
        <v>35</v>
      </c>
      <c r="W3" s="2" t="s">
        <v>36</v>
      </c>
      <c r="X3" s="3" t="s">
        <v>37</v>
      </c>
      <c r="Y3" s="2" t="s">
        <v>35</v>
      </c>
      <c r="Z3" s="2" t="s">
        <v>36</v>
      </c>
      <c r="AA3" s="3" t="s">
        <v>37</v>
      </c>
    </row>
    <row r="4" spans="2:27" x14ac:dyDescent="0.25">
      <c r="B4" s="8" t="s">
        <v>2</v>
      </c>
      <c r="C4" s="9" t="s">
        <v>3</v>
      </c>
      <c r="D4" s="10">
        <f t="shared" ref="D4:AA4" si="0">D5+D6+D7+D8+D9</f>
        <v>11434931</v>
      </c>
      <c r="E4" s="10">
        <f t="shared" si="0"/>
        <v>7260177</v>
      </c>
      <c r="F4" s="10">
        <f t="shared" si="0"/>
        <v>4174754</v>
      </c>
      <c r="G4" s="10">
        <f t="shared" si="0"/>
        <v>11334806</v>
      </c>
      <c r="H4" s="10">
        <f t="shared" si="0"/>
        <v>7148087</v>
      </c>
      <c r="I4" s="10">
        <f t="shared" si="0"/>
        <v>4186719</v>
      </c>
      <c r="J4" s="10">
        <f t="shared" si="0"/>
        <v>11188334</v>
      </c>
      <c r="K4" s="10">
        <f t="shared" si="0"/>
        <v>6949793</v>
      </c>
      <c r="L4" s="10">
        <f t="shared" si="0"/>
        <v>4238541</v>
      </c>
      <c r="M4" s="10">
        <f t="shared" si="0"/>
        <v>11289683</v>
      </c>
      <c r="N4" s="10">
        <f t="shared" si="0"/>
        <v>6969334</v>
      </c>
      <c r="O4" s="10">
        <f t="shared" si="0"/>
        <v>4320349</v>
      </c>
      <c r="P4" s="10">
        <f t="shared" si="0"/>
        <v>11219880</v>
      </c>
      <c r="Q4" s="10">
        <f t="shared" si="0"/>
        <v>6796347</v>
      </c>
      <c r="R4" s="10">
        <f t="shared" si="0"/>
        <v>4423533</v>
      </c>
      <c r="S4" s="10">
        <f t="shared" si="0"/>
        <v>10576072</v>
      </c>
      <c r="T4" s="10">
        <f t="shared" si="0"/>
        <v>6281012</v>
      </c>
      <c r="U4" s="10">
        <f t="shared" si="0"/>
        <v>4295060</v>
      </c>
      <c r="V4" s="10">
        <f t="shared" si="0"/>
        <v>10707305</v>
      </c>
      <c r="W4" s="10">
        <f t="shared" si="0"/>
        <v>6269826</v>
      </c>
      <c r="X4" s="10">
        <f t="shared" si="0"/>
        <v>4437479</v>
      </c>
      <c r="Y4" s="10">
        <f t="shared" si="0"/>
        <v>10737607</v>
      </c>
      <c r="Z4" s="10">
        <f t="shared" si="0"/>
        <v>6150604</v>
      </c>
      <c r="AA4" s="10">
        <f t="shared" si="0"/>
        <v>4587003</v>
      </c>
    </row>
    <row r="5" spans="2:27" x14ac:dyDescent="0.25">
      <c r="B5" s="11" t="s">
        <v>4</v>
      </c>
      <c r="C5" s="12" t="s">
        <v>5</v>
      </c>
      <c r="D5" s="13">
        <v>9507106</v>
      </c>
      <c r="E5" s="13">
        <v>5805175</v>
      </c>
      <c r="F5" s="13">
        <v>3701931</v>
      </c>
      <c r="G5" s="13">
        <v>9364449</v>
      </c>
      <c r="H5" s="13">
        <v>5671463</v>
      </c>
      <c r="I5" s="13">
        <v>3692986</v>
      </c>
      <c r="J5" s="13">
        <v>9182160</v>
      </c>
      <c r="K5" s="13">
        <v>5461328</v>
      </c>
      <c r="L5" s="13">
        <v>3720832</v>
      </c>
      <c r="M5" s="13">
        <v>9297740</v>
      </c>
      <c r="N5" s="13">
        <v>5494193</v>
      </c>
      <c r="O5" s="13">
        <v>3803547</v>
      </c>
      <c r="P5" s="13">
        <v>9271269</v>
      </c>
      <c r="Q5" s="13">
        <v>5360655</v>
      </c>
      <c r="R5" s="13">
        <v>3910614</v>
      </c>
      <c r="S5" s="13">
        <v>8581399</v>
      </c>
      <c r="T5" s="13">
        <v>4829935</v>
      </c>
      <c r="U5" s="13">
        <v>3751464</v>
      </c>
      <c r="V5" s="13">
        <v>8687575</v>
      </c>
      <c r="W5" s="13">
        <v>4817579</v>
      </c>
      <c r="X5" s="13">
        <v>3869996</v>
      </c>
      <c r="Y5" s="13">
        <v>8820448</v>
      </c>
      <c r="Z5" s="13">
        <v>4791596</v>
      </c>
      <c r="AA5" s="13">
        <v>4028852</v>
      </c>
    </row>
    <row r="6" spans="2:27" x14ac:dyDescent="0.25">
      <c r="B6" s="11" t="s">
        <v>6</v>
      </c>
      <c r="C6" s="12" t="s">
        <v>7</v>
      </c>
      <c r="D6" s="13">
        <v>1336515</v>
      </c>
      <c r="E6" s="13">
        <v>1074045</v>
      </c>
      <c r="F6" s="13">
        <v>262470</v>
      </c>
      <c r="G6" s="13">
        <v>1326016</v>
      </c>
      <c r="H6" s="13">
        <v>1064159</v>
      </c>
      <c r="I6" s="13">
        <v>261857</v>
      </c>
      <c r="J6" s="13">
        <v>1341400</v>
      </c>
      <c r="K6" s="13">
        <v>1067428</v>
      </c>
      <c r="L6" s="13">
        <v>273972</v>
      </c>
      <c r="M6" s="13">
        <v>1324373</v>
      </c>
      <c r="N6" s="13">
        <v>1053969</v>
      </c>
      <c r="O6" s="13">
        <v>270404</v>
      </c>
      <c r="P6" s="13">
        <v>1286728</v>
      </c>
      <c r="Q6" s="13">
        <v>1010531</v>
      </c>
      <c r="R6" s="13">
        <v>276197</v>
      </c>
      <c r="S6" s="13">
        <v>1269341</v>
      </c>
      <c r="T6" s="13">
        <v>988369</v>
      </c>
      <c r="U6" s="13">
        <v>280972</v>
      </c>
      <c r="V6" s="13">
        <v>1274582</v>
      </c>
      <c r="W6" s="13">
        <v>975892</v>
      </c>
      <c r="X6" s="13">
        <v>298690</v>
      </c>
      <c r="Y6" s="13">
        <v>1275600</v>
      </c>
      <c r="Z6" s="13">
        <v>964992</v>
      </c>
      <c r="AA6" s="13">
        <v>310608</v>
      </c>
    </row>
    <row r="7" spans="2:27" x14ac:dyDescent="0.25">
      <c r="B7" s="11" t="s">
        <v>8</v>
      </c>
      <c r="C7" s="12" t="s">
        <v>9</v>
      </c>
      <c r="D7" s="14">
        <v>63970</v>
      </c>
      <c r="E7" s="14">
        <v>46318</v>
      </c>
      <c r="F7" s="14">
        <v>17652</v>
      </c>
      <c r="G7" s="14">
        <v>72853</v>
      </c>
      <c r="H7" s="14">
        <v>52202</v>
      </c>
      <c r="I7" s="14">
        <v>20651</v>
      </c>
      <c r="J7" s="14">
        <v>81141</v>
      </c>
      <c r="K7" s="14">
        <v>57117</v>
      </c>
      <c r="L7" s="14">
        <v>24024</v>
      </c>
      <c r="M7" s="14">
        <v>76255</v>
      </c>
      <c r="N7" s="14">
        <v>53975</v>
      </c>
      <c r="O7" s="14">
        <v>22280</v>
      </c>
      <c r="P7" s="14">
        <v>79443</v>
      </c>
      <c r="Q7" s="14">
        <v>56689</v>
      </c>
      <c r="R7" s="14">
        <v>22754</v>
      </c>
      <c r="S7" s="14">
        <v>91250</v>
      </c>
      <c r="T7" s="14">
        <v>63729</v>
      </c>
      <c r="U7" s="14">
        <v>27521</v>
      </c>
      <c r="V7" s="14">
        <v>137233</v>
      </c>
      <c r="W7" s="14">
        <v>97219</v>
      </c>
      <c r="X7" s="14">
        <v>40014</v>
      </c>
      <c r="Y7" s="14">
        <v>107257</v>
      </c>
      <c r="Z7" s="14">
        <v>72010</v>
      </c>
      <c r="AA7" s="14">
        <v>35247</v>
      </c>
    </row>
    <row r="8" spans="2:27" x14ac:dyDescent="0.25">
      <c r="B8" s="11" t="s">
        <v>10</v>
      </c>
      <c r="C8" s="12" t="s">
        <v>11</v>
      </c>
      <c r="D8" s="14">
        <v>4535</v>
      </c>
      <c r="E8" s="14">
        <v>2283</v>
      </c>
      <c r="F8" s="14">
        <v>2252</v>
      </c>
      <c r="G8" s="14">
        <v>4344</v>
      </c>
      <c r="H8" s="14">
        <v>2092</v>
      </c>
      <c r="I8" s="14">
        <v>2252</v>
      </c>
      <c r="J8" s="14">
        <v>4659</v>
      </c>
      <c r="K8" s="14">
        <v>2227</v>
      </c>
      <c r="L8" s="14">
        <v>2432</v>
      </c>
      <c r="M8" s="14">
        <v>5498</v>
      </c>
      <c r="N8" s="14">
        <v>2701</v>
      </c>
      <c r="O8" s="14">
        <v>2797</v>
      </c>
      <c r="P8" s="14">
        <v>5450</v>
      </c>
      <c r="Q8" s="14">
        <v>2607</v>
      </c>
      <c r="R8" s="14">
        <v>2843</v>
      </c>
      <c r="S8" s="14">
        <v>5855</v>
      </c>
      <c r="T8" s="14">
        <v>2928</v>
      </c>
      <c r="U8" s="14">
        <v>2927</v>
      </c>
      <c r="V8" s="14">
        <v>6863</v>
      </c>
      <c r="W8" s="14">
        <v>3526</v>
      </c>
      <c r="X8" s="14">
        <v>3337</v>
      </c>
      <c r="Y8" s="14">
        <v>6357</v>
      </c>
      <c r="Z8" s="14">
        <v>2921</v>
      </c>
      <c r="AA8" s="14">
        <v>3436</v>
      </c>
    </row>
    <row r="9" spans="2:27" x14ac:dyDescent="0.25">
      <c r="B9" s="11" t="s">
        <v>12</v>
      </c>
      <c r="C9" s="12" t="s">
        <v>13</v>
      </c>
      <c r="D9" s="14">
        <v>522805</v>
      </c>
      <c r="E9" s="14">
        <v>332356</v>
      </c>
      <c r="F9" s="14">
        <v>190449</v>
      </c>
      <c r="G9" s="14">
        <v>567144</v>
      </c>
      <c r="H9" s="14">
        <v>358171</v>
      </c>
      <c r="I9" s="14">
        <v>208973</v>
      </c>
      <c r="J9" s="14">
        <v>578974</v>
      </c>
      <c r="K9" s="14">
        <v>361693</v>
      </c>
      <c r="L9" s="14">
        <v>217281</v>
      </c>
      <c r="M9" s="14">
        <v>585817</v>
      </c>
      <c r="N9" s="14">
        <v>364496</v>
      </c>
      <c r="O9" s="14">
        <v>221321</v>
      </c>
      <c r="P9" s="14">
        <v>576990</v>
      </c>
      <c r="Q9" s="14">
        <v>365865</v>
      </c>
      <c r="R9" s="14">
        <v>211125</v>
      </c>
      <c r="S9" s="14">
        <v>628227</v>
      </c>
      <c r="T9" s="14">
        <v>396051</v>
      </c>
      <c r="U9" s="14">
        <v>232176</v>
      </c>
      <c r="V9" s="14">
        <v>601052</v>
      </c>
      <c r="W9" s="14">
        <v>375610</v>
      </c>
      <c r="X9" s="14">
        <v>225442</v>
      </c>
      <c r="Y9" s="14">
        <v>527945</v>
      </c>
      <c r="Z9" s="14">
        <v>319085</v>
      </c>
      <c r="AA9" s="14">
        <v>208860</v>
      </c>
    </row>
    <row r="10" spans="2:27" x14ac:dyDescent="0.25">
      <c r="B10" s="8" t="s">
        <v>14</v>
      </c>
      <c r="C10" s="9" t="s">
        <v>48</v>
      </c>
      <c r="D10" s="10">
        <f t="shared" ref="D10:AA10" si="1">D11+D12+D13</f>
        <v>804671</v>
      </c>
      <c r="E10" s="10">
        <f t="shared" si="1"/>
        <v>544910</v>
      </c>
      <c r="F10" s="10">
        <f t="shared" si="1"/>
        <v>259761</v>
      </c>
      <c r="G10" s="10">
        <f t="shared" si="1"/>
        <v>878054</v>
      </c>
      <c r="H10" s="10">
        <f t="shared" si="1"/>
        <v>605599</v>
      </c>
      <c r="I10" s="10">
        <f t="shared" si="1"/>
        <v>272455</v>
      </c>
      <c r="J10" s="10">
        <f t="shared" si="1"/>
        <v>811478</v>
      </c>
      <c r="K10" s="10">
        <f t="shared" si="1"/>
        <v>550478</v>
      </c>
      <c r="L10" s="10">
        <f t="shared" si="1"/>
        <v>261000</v>
      </c>
      <c r="M10" s="10">
        <f t="shared" si="1"/>
        <v>833941</v>
      </c>
      <c r="N10" s="10">
        <f t="shared" si="1"/>
        <v>564464</v>
      </c>
      <c r="O10" s="10">
        <f t="shared" si="1"/>
        <v>269477</v>
      </c>
      <c r="P10" s="10">
        <f t="shared" si="1"/>
        <v>910185</v>
      </c>
      <c r="Q10" s="10">
        <f t="shared" si="1"/>
        <v>615266</v>
      </c>
      <c r="R10" s="10">
        <f t="shared" si="1"/>
        <v>294919</v>
      </c>
      <c r="S10" s="10">
        <f t="shared" si="1"/>
        <v>699144</v>
      </c>
      <c r="T10" s="10">
        <f t="shared" si="1"/>
        <v>453060</v>
      </c>
      <c r="U10" s="10">
        <f t="shared" si="1"/>
        <v>246084</v>
      </c>
      <c r="V10" s="10">
        <f t="shared" si="1"/>
        <v>879474</v>
      </c>
      <c r="W10" s="10">
        <f t="shared" si="1"/>
        <v>552297</v>
      </c>
      <c r="X10" s="10">
        <f t="shared" si="1"/>
        <v>327177</v>
      </c>
      <c r="Y10" s="10">
        <f t="shared" si="1"/>
        <v>790302</v>
      </c>
      <c r="Z10" s="10">
        <f t="shared" si="1"/>
        <v>470932</v>
      </c>
      <c r="AA10" s="10">
        <f t="shared" si="1"/>
        <v>319370</v>
      </c>
    </row>
    <row r="11" spans="2:27" x14ac:dyDescent="0.25">
      <c r="B11" s="11" t="s">
        <v>15</v>
      </c>
      <c r="C11" s="12" t="s">
        <v>16</v>
      </c>
      <c r="D11" s="14">
        <v>793848</v>
      </c>
      <c r="E11" s="14">
        <v>538473</v>
      </c>
      <c r="F11" s="14">
        <v>255375</v>
      </c>
      <c r="G11" s="14">
        <v>866823</v>
      </c>
      <c r="H11" s="14">
        <v>598949</v>
      </c>
      <c r="I11" s="14">
        <v>267874</v>
      </c>
      <c r="J11" s="14">
        <v>797299</v>
      </c>
      <c r="K11" s="14">
        <v>542144</v>
      </c>
      <c r="L11" s="14">
        <v>255155</v>
      </c>
      <c r="M11" s="14">
        <v>816965</v>
      </c>
      <c r="N11" s="14">
        <v>554436</v>
      </c>
      <c r="O11" s="14">
        <v>262529</v>
      </c>
      <c r="P11" s="14">
        <v>890665</v>
      </c>
      <c r="Q11" s="14">
        <v>604065</v>
      </c>
      <c r="R11" s="14">
        <v>286600</v>
      </c>
      <c r="S11" s="14">
        <v>676597</v>
      </c>
      <c r="T11" s="14">
        <v>440474</v>
      </c>
      <c r="U11" s="14">
        <v>236123</v>
      </c>
      <c r="V11" s="14">
        <v>837778</v>
      </c>
      <c r="W11" s="14">
        <v>529440</v>
      </c>
      <c r="X11" s="14">
        <v>308338</v>
      </c>
      <c r="Y11" s="14">
        <v>748975</v>
      </c>
      <c r="Z11" s="14">
        <v>449238</v>
      </c>
      <c r="AA11" s="14">
        <v>299737</v>
      </c>
    </row>
    <row r="12" spans="2:27" x14ac:dyDescent="0.25">
      <c r="B12" s="11" t="s">
        <v>17</v>
      </c>
      <c r="C12" s="12" t="s">
        <v>49</v>
      </c>
      <c r="D12" s="14">
        <v>10780</v>
      </c>
      <c r="E12" s="14">
        <v>6419</v>
      </c>
      <c r="F12" s="14">
        <v>4361</v>
      </c>
      <c r="G12" s="14">
        <v>11212</v>
      </c>
      <c r="H12" s="14">
        <v>6637</v>
      </c>
      <c r="I12" s="14">
        <v>4575</v>
      </c>
      <c r="J12" s="14">
        <v>14145</v>
      </c>
      <c r="K12" s="14">
        <v>8317</v>
      </c>
      <c r="L12" s="14">
        <v>5828</v>
      </c>
      <c r="M12" s="14">
        <v>16965</v>
      </c>
      <c r="N12" s="14">
        <v>10021</v>
      </c>
      <c r="O12" s="14">
        <v>6944</v>
      </c>
      <c r="P12" s="14">
        <v>19486</v>
      </c>
      <c r="Q12" s="14">
        <v>11183</v>
      </c>
      <c r="R12" s="14">
        <v>8303</v>
      </c>
      <c r="S12" s="14">
        <v>22270</v>
      </c>
      <c r="T12" s="14">
        <v>12459</v>
      </c>
      <c r="U12" s="14">
        <v>9811</v>
      </c>
      <c r="V12" s="14">
        <v>28890</v>
      </c>
      <c r="W12" s="14">
        <v>16167</v>
      </c>
      <c r="X12" s="14">
        <v>12723</v>
      </c>
      <c r="Y12" s="14">
        <v>26908</v>
      </c>
      <c r="Z12" s="14">
        <v>14470</v>
      </c>
      <c r="AA12" s="14">
        <v>12438</v>
      </c>
    </row>
    <row r="13" spans="2:27" x14ac:dyDescent="0.25">
      <c r="B13" s="11" t="s">
        <v>18</v>
      </c>
      <c r="C13" s="12" t="s">
        <v>19</v>
      </c>
      <c r="D13" s="14">
        <v>43</v>
      </c>
      <c r="E13" s="14">
        <v>18</v>
      </c>
      <c r="F13" s="14">
        <v>25</v>
      </c>
      <c r="G13" s="14">
        <v>19</v>
      </c>
      <c r="H13" s="14">
        <v>13</v>
      </c>
      <c r="I13" s="14">
        <v>6</v>
      </c>
      <c r="J13" s="14">
        <v>34</v>
      </c>
      <c r="K13" s="14">
        <v>17</v>
      </c>
      <c r="L13" s="14">
        <v>17</v>
      </c>
      <c r="M13" s="14">
        <v>11</v>
      </c>
      <c r="N13" s="14">
        <v>7</v>
      </c>
      <c r="O13" s="14">
        <v>4</v>
      </c>
      <c r="P13" s="14">
        <v>34</v>
      </c>
      <c r="Q13" s="14">
        <v>18</v>
      </c>
      <c r="R13" s="14">
        <v>16</v>
      </c>
      <c r="S13" s="14">
        <v>277</v>
      </c>
      <c r="T13" s="14">
        <v>127</v>
      </c>
      <c r="U13" s="14">
        <v>150</v>
      </c>
      <c r="V13" s="14">
        <v>12806</v>
      </c>
      <c r="W13" s="14">
        <v>6690</v>
      </c>
      <c r="X13" s="14">
        <v>6116</v>
      </c>
      <c r="Y13" s="14">
        <v>14419</v>
      </c>
      <c r="Z13" s="14">
        <v>7224</v>
      </c>
      <c r="AA13" s="14">
        <v>7195</v>
      </c>
    </row>
    <row r="14" spans="2:27" x14ac:dyDescent="0.25">
      <c r="B14" s="8" t="s">
        <v>20</v>
      </c>
      <c r="C14" s="9" t="s">
        <v>21</v>
      </c>
      <c r="D14" s="10">
        <f t="shared" ref="D14:AA14" si="2">D15+D16+D17+D18</f>
        <v>25737</v>
      </c>
      <c r="E14" s="10">
        <f t="shared" si="2"/>
        <v>24690</v>
      </c>
      <c r="F14" s="10">
        <f t="shared" si="2"/>
        <v>1047</v>
      </c>
      <c r="G14" s="10">
        <f t="shared" si="2"/>
        <v>25052</v>
      </c>
      <c r="H14" s="10">
        <f t="shared" si="2"/>
        <v>23954</v>
      </c>
      <c r="I14" s="10">
        <f t="shared" si="2"/>
        <v>1098</v>
      </c>
      <c r="J14" s="10">
        <f t="shared" si="2"/>
        <v>23019</v>
      </c>
      <c r="K14" s="10">
        <f t="shared" si="2"/>
        <v>22410</v>
      </c>
      <c r="L14" s="10">
        <f t="shared" si="2"/>
        <v>609</v>
      </c>
      <c r="M14" s="10">
        <f t="shared" si="2"/>
        <v>22606</v>
      </c>
      <c r="N14" s="10">
        <f t="shared" si="2"/>
        <v>22034</v>
      </c>
      <c r="O14" s="10">
        <f t="shared" si="2"/>
        <v>572</v>
      </c>
      <c r="P14" s="10">
        <f t="shared" si="2"/>
        <v>23628</v>
      </c>
      <c r="Q14" s="10">
        <f t="shared" si="2"/>
        <v>21263</v>
      </c>
      <c r="R14" s="10">
        <f t="shared" si="2"/>
        <v>2365</v>
      </c>
      <c r="S14" s="10">
        <f t="shared" si="2"/>
        <v>22394</v>
      </c>
      <c r="T14" s="10">
        <f t="shared" si="2"/>
        <v>19958</v>
      </c>
      <c r="U14" s="10">
        <f t="shared" si="2"/>
        <v>2436</v>
      </c>
      <c r="V14" s="10">
        <f t="shared" si="2"/>
        <v>23934</v>
      </c>
      <c r="W14" s="10">
        <f t="shared" si="2"/>
        <v>21600</v>
      </c>
      <c r="X14" s="10">
        <f t="shared" si="2"/>
        <v>2334</v>
      </c>
      <c r="Y14" s="10">
        <f t="shared" si="2"/>
        <v>24466</v>
      </c>
      <c r="Z14" s="10">
        <f t="shared" si="2"/>
        <v>22675</v>
      </c>
      <c r="AA14" s="10">
        <f t="shared" si="2"/>
        <v>1791</v>
      </c>
    </row>
    <row r="15" spans="2:27" x14ac:dyDescent="0.25">
      <c r="B15" s="11" t="s">
        <v>22</v>
      </c>
      <c r="C15" s="12" t="s">
        <v>23</v>
      </c>
      <c r="D15" s="14">
        <v>1783</v>
      </c>
      <c r="E15" s="14">
        <v>1650</v>
      </c>
      <c r="F15" s="14">
        <v>133</v>
      </c>
      <c r="G15" s="14">
        <v>1860</v>
      </c>
      <c r="H15" s="14">
        <v>1719</v>
      </c>
      <c r="I15" s="14">
        <v>141</v>
      </c>
      <c r="J15" s="14">
        <v>2105</v>
      </c>
      <c r="K15" s="14">
        <v>1937</v>
      </c>
      <c r="L15" s="14">
        <v>168</v>
      </c>
      <c r="M15" s="14">
        <v>2342</v>
      </c>
      <c r="N15" s="14">
        <v>2139</v>
      </c>
      <c r="O15" s="14">
        <v>203</v>
      </c>
      <c r="P15" s="14">
        <v>2641</v>
      </c>
      <c r="Q15" s="14">
        <v>2404</v>
      </c>
      <c r="R15" s="14">
        <v>237</v>
      </c>
      <c r="S15" s="14">
        <v>3107</v>
      </c>
      <c r="T15" s="14">
        <v>2805</v>
      </c>
      <c r="U15" s="14">
        <v>302</v>
      </c>
      <c r="V15" s="14">
        <v>3585</v>
      </c>
      <c r="W15" s="14">
        <v>3208</v>
      </c>
      <c r="X15" s="14">
        <v>377</v>
      </c>
      <c r="Y15" s="14">
        <v>3847</v>
      </c>
      <c r="Z15" s="14">
        <v>3440</v>
      </c>
      <c r="AA15" s="14">
        <v>407</v>
      </c>
    </row>
    <row r="16" spans="2:27" x14ac:dyDescent="0.25">
      <c r="B16" s="11" t="s">
        <v>24</v>
      </c>
      <c r="C16" s="12" t="s">
        <v>25</v>
      </c>
      <c r="D16" s="14">
        <v>357</v>
      </c>
      <c r="E16" s="14">
        <v>319</v>
      </c>
      <c r="F16" s="14">
        <v>38</v>
      </c>
      <c r="G16" s="14">
        <v>367</v>
      </c>
      <c r="H16" s="14">
        <v>330</v>
      </c>
      <c r="I16" s="14">
        <v>37</v>
      </c>
      <c r="J16" s="14">
        <v>384</v>
      </c>
      <c r="K16" s="14">
        <v>348</v>
      </c>
      <c r="L16" s="14">
        <v>36</v>
      </c>
      <c r="M16" s="14">
        <v>405</v>
      </c>
      <c r="N16" s="14">
        <v>367</v>
      </c>
      <c r="O16" s="14">
        <v>38</v>
      </c>
      <c r="P16" s="14">
        <v>457</v>
      </c>
      <c r="Q16" s="14">
        <v>406</v>
      </c>
      <c r="R16" s="14">
        <v>51</v>
      </c>
      <c r="S16" s="14">
        <v>522</v>
      </c>
      <c r="T16" s="14">
        <v>460</v>
      </c>
      <c r="U16" s="14">
        <v>62</v>
      </c>
      <c r="V16" s="14">
        <v>616</v>
      </c>
      <c r="W16" s="14">
        <v>546</v>
      </c>
      <c r="X16" s="14">
        <v>70</v>
      </c>
      <c r="Y16" s="14">
        <v>668</v>
      </c>
      <c r="Z16" s="14">
        <v>587</v>
      </c>
      <c r="AA16" s="14">
        <v>81</v>
      </c>
    </row>
    <row r="17" spans="2:27" x14ac:dyDescent="0.25">
      <c r="B17" s="11" t="s">
        <v>26</v>
      </c>
      <c r="C17" s="12" t="s">
        <v>27</v>
      </c>
      <c r="D17" s="14">
        <v>2604</v>
      </c>
      <c r="E17" s="14">
        <v>2441</v>
      </c>
      <c r="F17" s="14">
        <v>163</v>
      </c>
      <c r="G17" s="14">
        <v>2776</v>
      </c>
      <c r="H17" s="14">
        <v>2602</v>
      </c>
      <c r="I17" s="14">
        <v>174</v>
      </c>
      <c r="J17" s="14">
        <v>3290</v>
      </c>
      <c r="K17" s="14">
        <v>3064</v>
      </c>
      <c r="L17" s="14">
        <v>226</v>
      </c>
      <c r="M17" s="14">
        <v>3815</v>
      </c>
      <c r="N17" s="14">
        <v>3560</v>
      </c>
      <c r="O17" s="14">
        <v>255</v>
      </c>
      <c r="P17" s="14">
        <v>4510</v>
      </c>
      <c r="Q17" s="14">
        <v>4192</v>
      </c>
      <c r="R17" s="14">
        <v>318</v>
      </c>
      <c r="S17" s="14">
        <v>5317</v>
      </c>
      <c r="T17" s="14">
        <v>4922</v>
      </c>
      <c r="U17" s="14">
        <v>395</v>
      </c>
      <c r="V17" s="14">
        <v>6732</v>
      </c>
      <c r="W17" s="14">
        <v>6193</v>
      </c>
      <c r="X17" s="14">
        <v>539</v>
      </c>
      <c r="Y17" s="14">
        <v>7882</v>
      </c>
      <c r="Z17" s="14">
        <v>7212</v>
      </c>
      <c r="AA17" s="14">
        <v>670</v>
      </c>
    </row>
    <row r="18" spans="2:27" x14ac:dyDescent="0.25">
      <c r="B18" s="11" t="s">
        <v>28</v>
      </c>
      <c r="C18" s="15" t="s">
        <v>30</v>
      </c>
      <c r="D18" s="14">
        <v>20993</v>
      </c>
      <c r="E18" s="14">
        <v>20280</v>
      </c>
      <c r="F18" s="14">
        <v>713</v>
      </c>
      <c r="G18" s="14">
        <v>20049</v>
      </c>
      <c r="H18" s="14">
        <v>19303</v>
      </c>
      <c r="I18" s="14">
        <v>746</v>
      </c>
      <c r="J18" s="14">
        <v>17240</v>
      </c>
      <c r="K18" s="14">
        <v>17061</v>
      </c>
      <c r="L18" s="14">
        <v>179</v>
      </c>
      <c r="M18" s="14">
        <v>16044</v>
      </c>
      <c r="N18" s="14">
        <v>15968</v>
      </c>
      <c r="O18" s="14">
        <v>76</v>
      </c>
      <c r="P18" s="14">
        <v>16020</v>
      </c>
      <c r="Q18" s="14">
        <v>14261</v>
      </c>
      <c r="R18" s="14">
        <v>1759</v>
      </c>
      <c r="S18" s="14">
        <v>13448</v>
      </c>
      <c r="T18" s="14">
        <v>11771</v>
      </c>
      <c r="U18" s="14">
        <v>1677</v>
      </c>
      <c r="V18" s="14">
        <v>13001</v>
      </c>
      <c r="W18" s="14">
        <v>11653</v>
      </c>
      <c r="X18" s="14">
        <v>1348</v>
      </c>
      <c r="Y18" s="14">
        <v>12069</v>
      </c>
      <c r="Z18" s="14">
        <v>11436</v>
      </c>
      <c r="AA18" s="14">
        <v>633</v>
      </c>
    </row>
    <row r="19" spans="2:27" x14ac:dyDescent="0.25">
      <c r="B19" s="8" t="s">
        <v>31</v>
      </c>
      <c r="C19" s="9" t="s">
        <v>32</v>
      </c>
      <c r="D19" s="10">
        <f t="shared" ref="D19:AA19" si="3">D20+D21</f>
        <v>579731</v>
      </c>
      <c r="E19" s="10">
        <f t="shared" si="3"/>
        <v>423374</v>
      </c>
      <c r="F19" s="10">
        <f t="shared" si="3"/>
        <v>156357</v>
      </c>
      <c r="G19" s="10">
        <f t="shared" si="3"/>
        <v>570796</v>
      </c>
      <c r="H19" s="10">
        <f t="shared" si="3"/>
        <v>413464</v>
      </c>
      <c r="I19" s="10">
        <f t="shared" si="3"/>
        <v>157332</v>
      </c>
      <c r="J19" s="10">
        <f t="shared" si="3"/>
        <v>522360</v>
      </c>
      <c r="K19" s="10">
        <f t="shared" si="3"/>
        <v>363290</v>
      </c>
      <c r="L19" s="10">
        <f t="shared" si="3"/>
        <v>159070</v>
      </c>
      <c r="M19" s="10">
        <f t="shared" si="3"/>
        <v>529752</v>
      </c>
      <c r="N19" s="10">
        <f t="shared" si="3"/>
        <v>371796</v>
      </c>
      <c r="O19" s="10">
        <f t="shared" si="3"/>
        <v>157956</v>
      </c>
      <c r="P19" s="10">
        <f t="shared" si="3"/>
        <v>460966</v>
      </c>
      <c r="Q19" s="10">
        <f t="shared" si="3"/>
        <v>306229</v>
      </c>
      <c r="R19" s="10">
        <f t="shared" si="3"/>
        <v>154737</v>
      </c>
      <c r="S19" s="10">
        <f t="shared" si="3"/>
        <v>454060</v>
      </c>
      <c r="T19" s="10">
        <f t="shared" si="3"/>
        <v>313804</v>
      </c>
      <c r="U19" s="10">
        <f t="shared" si="3"/>
        <v>140256</v>
      </c>
      <c r="V19" s="10">
        <f t="shared" si="3"/>
        <v>360450</v>
      </c>
      <c r="W19" s="10">
        <f t="shared" si="3"/>
        <v>247415</v>
      </c>
      <c r="X19" s="10">
        <f t="shared" si="3"/>
        <v>113035</v>
      </c>
      <c r="Y19" s="10">
        <f t="shared" si="3"/>
        <v>259078</v>
      </c>
      <c r="Z19" s="10">
        <f t="shared" si="3"/>
        <v>172353</v>
      </c>
      <c r="AA19" s="10">
        <f t="shared" si="3"/>
        <v>86725</v>
      </c>
    </row>
    <row r="20" spans="2:27" x14ac:dyDescent="0.25">
      <c r="B20" s="11" t="s">
        <v>29</v>
      </c>
      <c r="C20" s="12" t="s">
        <v>38</v>
      </c>
      <c r="D20" s="16">
        <v>2</v>
      </c>
      <c r="E20" s="16">
        <v>2</v>
      </c>
      <c r="F20" s="16">
        <v>0</v>
      </c>
      <c r="G20" s="17">
        <v>5</v>
      </c>
      <c r="H20" s="17">
        <v>5</v>
      </c>
      <c r="I20" s="17">
        <v>0</v>
      </c>
      <c r="J20" s="17">
        <v>7</v>
      </c>
      <c r="K20" s="17">
        <v>7</v>
      </c>
      <c r="L20" s="17">
        <v>0</v>
      </c>
      <c r="M20" s="17">
        <v>6</v>
      </c>
      <c r="N20" s="17">
        <v>5</v>
      </c>
      <c r="O20" s="17">
        <v>1</v>
      </c>
      <c r="P20" s="17">
        <v>6</v>
      </c>
      <c r="Q20" s="17">
        <v>6</v>
      </c>
      <c r="R20" s="17">
        <v>0</v>
      </c>
      <c r="S20" s="17">
        <v>5</v>
      </c>
      <c r="T20" s="17">
        <v>5</v>
      </c>
      <c r="U20" s="17">
        <v>0</v>
      </c>
      <c r="V20" s="17">
        <v>8</v>
      </c>
      <c r="W20" s="17">
        <v>8</v>
      </c>
      <c r="X20" s="17"/>
      <c r="Y20" s="17">
        <v>36</v>
      </c>
      <c r="Z20" s="17">
        <v>32</v>
      </c>
      <c r="AA20" s="17">
        <v>4</v>
      </c>
    </row>
    <row r="21" spans="2:27" x14ac:dyDescent="0.25">
      <c r="B21" s="11" t="s">
        <v>39</v>
      </c>
      <c r="C21" s="18" t="s">
        <v>33</v>
      </c>
      <c r="D21" s="16">
        <v>579729</v>
      </c>
      <c r="E21" s="16">
        <v>423372</v>
      </c>
      <c r="F21" s="16">
        <v>156357</v>
      </c>
      <c r="G21" s="14">
        <v>570791</v>
      </c>
      <c r="H21" s="14">
        <v>413459</v>
      </c>
      <c r="I21" s="14">
        <v>157332</v>
      </c>
      <c r="J21" s="14">
        <v>522353</v>
      </c>
      <c r="K21" s="14">
        <v>363283</v>
      </c>
      <c r="L21" s="14">
        <v>159070</v>
      </c>
      <c r="M21" s="14">
        <v>529746</v>
      </c>
      <c r="N21" s="14">
        <v>371791</v>
      </c>
      <c r="O21" s="14">
        <v>157955</v>
      </c>
      <c r="P21" s="14">
        <v>460960</v>
      </c>
      <c r="Q21" s="14">
        <v>306223</v>
      </c>
      <c r="R21" s="14">
        <v>154737</v>
      </c>
      <c r="S21" s="14">
        <v>454055</v>
      </c>
      <c r="T21" s="14">
        <v>313799</v>
      </c>
      <c r="U21" s="14">
        <v>140256</v>
      </c>
      <c r="V21" s="14">
        <v>360442</v>
      </c>
      <c r="W21" s="14">
        <v>247407</v>
      </c>
      <c r="X21" s="14">
        <v>113035</v>
      </c>
      <c r="Y21" s="14">
        <v>259042</v>
      </c>
      <c r="Z21" s="14">
        <v>172321</v>
      </c>
      <c r="AA21" s="14">
        <v>86721</v>
      </c>
    </row>
    <row r="22" spans="2:27" x14ac:dyDescent="0.25">
      <c r="B22" s="5"/>
      <c r="C22" s="6" t="s">
        <v>40</v>
      </c>
      <c r="D22" s="7">
        <f t="shared" ref="D22:X22" si="4">D4+D10+D14+D19</f>
        <v>12845070</v>
      </c>
      <c r="E22" s="7">
        <f t="shared" si="4"/>
        <v>8253151</v>
      </c>
      <c r="F22" s="7">
        <f t="shared" si="4"/>
        <v>4591919</v>
      </c>
      <c r="G22" s="7">
        <f t="shared" si="4"/>
        <v>12808708</v>
      </c>
      <c r="H22" s="7">
        <f t="shared" si="4"/>
        <v>8191104</v>
      </c>
      <c r="I22" s="7">
        <f t="shared" si="4"/>
        <v>4617604</v>
      </c>
      <c r="J22" s="7">
        <f t="shared" si="4"/>
        <v>12545191</v>
      </c>
      <c r="K22" s="7">
        <f t="shared" si="4"/>
        <v>7885971</v>
      </c>
      <c r="L22" s="7">
        <f t="shared" si="4"/>
        <v>4659220</v>
      </c>
      <c r="M22" s="7">
        <f t="shared" si="4"/>
        <v>12675982</v>
      </c>
      <c r="N22" s="7">
        <f t="shared" si="4"/>
        <v>7927628</v>
      </c>
      <c r="O22" s="7">
        <f t="shared" si="4"/>
        <v>4748354</v>
      </c>
      <c r="P22" s="7">
        <f t="shared" si="4"/>
        <v>12614659</v>
      </c>
      <c r="Q22" s="7">
        <f t="shared" si="4"/>
        <v>7739105</v>
      </c>
      <c r="R22" s="7">
        <f t="shared" si="4"/>
        <v>4875554</v>
      </c>
      <c r="S22" s="7">
        <f t="shared" si="4"/>
        <v>11751670</v>
      </c>
      <c r="T22" s="7">
        <f t="shared" si="4"/>
        <v>7067834</v>
      </c>
      <c r="U22" s="7">
        <f t="shared" si="4"/>
        <v>4683836</v>
      </c>
      <c r="V22" s="7">
        <f t="shared" si="4"/>
        <v>11971163</v>
      </c>
      <c r="W22" s="7">
        <f t="shared" si="4"/>
        <v>7091138</v>
      </c>
      <c r="X22" s="7">
        <f t="shared" si="4"/>
        <v>4880025</v>
      </c>
      <c r="Y22" s="7">
        <v>11811453</v>
      </c>
      <c r="Z22" s="7">
        <v>6816564</v>
      </c>
      <c r="AA22" s="7">
        <v>4994889</v>
      </c>
    </row>
  </sheetData>
  <mergeCells count="8">
    <mergeCell ref="V2:X2"/>
    <mergeCell ref="Y2:AA2"/>
    <mergeCell ref="D2:F2"/>
    <mergeCell ref="G2:I2"/>
    <mergeCell ref="J2:L2"/>
    <mergeCell ref="M2:O2"/>
    <mergeCell ref="P2:R2"/>
    <mergeCell ref="S2:U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Carpio Segovia Alfredo Orlando</dc:creator>
  <cp:lastModifiedBy>Jimenez Suarez Christian Estalin</cp:lastModifiedBy>
  <dcterms:created xsi:type="dcterms:W3CDTF">2026-07-15T19:31:17Z</dcterms:created>
  <dcterms:modified xsi:type="dcterms:W3CDTF">2026-07-16T20:35:52Z</dcterms:modified>
</cp:coreProperties>
</file>